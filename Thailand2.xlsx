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9F676B1-469D-4D69-B3B6-BD2B563CC8B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hailand" sheetId="1" r:id="rId1"/>
    <sheet name="ByType" sheetId="3" r:id="rId2"/>
  </sheets>
  <definedNames>
    <definedName name="_xlnm._FilterDatabase" localSheetId="1" hidden="1">ByType!$A$1:$A$30</definedName>
    <definedName name="_xlnm._FilterDatabase" localSheetId="0" hidden="1">Thailand!$A$1:$A$24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20" i="3"/>
  <c r="D21" i="3"/>
  <c r="D22" i="3"/>
  <c r="D23" i="3"/>
  <c r="D24" i="3"/>
  <c r="D25" i="3"/>
  <c r="D26" i="3"/>
  <c r="D27" i="3"/>
  <c r="D28" i="3"/>
  <c r="D29" i="3"/>
  <c r="D30" i="3"/>
  <c r="D31" i="3"/>
  <c r="D34" i="3"/>
  <c r="D35" i="3"/>
  <c r="D36" i="3"/>
  <c r="D37" i="3"/>
  <c r="D33" i="3"/>
  <c r="D19" i="3"/>
  <c r="D2" i="3"/>
  <c r="D32" i="1"/>
  <c r="D33" i="1"/>
  <c r="D34" i="1"/>
  <c r="D35" i="1"/>
  <c r="D36" i="1"/>
  <c r="D37" i="1"/>
  <c r="D38" i="1"/>
  <c r="D31" i="1"/>
  <c r="D28" i="1"/>
  <c r="D29" i="1"/>
  <c r="D27" i="1"/>
  <c r="D14" i="1"/>
  <c r="D15" i="1"/>
  <c r="D16" i="1"/>
  <c r="D17" i="1"/>
  <c r="D18" i="1"/>
  <c r="D19" i="1"/>
  <c r="D20" i="1"/>
  <c r="D21" i="1"/>
  <c r="D22" i="1"/>
  <c r="D23" i="1"/>
  <c r="D24" i="1"/>
  <c r="D25" i="1"/>
  <c r="D13" i="1"/>
  <c r="D3" i="1"/>
  <c r="D4" i="1"/>
  <c r="D5" i="1"/>
  <c r="D6" i="1"/>
  <c r="D7" i="1"/>
  <c r="D8" i="1"/>
  <c r="D9" i="1"/>
  <c r="D10" i="1"/>
  <c r="D11" i="1"/>
  <c r="D2" i="1"/>
  <c r="G38" i="3"/>
  <c r="B38" i="3"/>
  <c r="I39" i="1"/>
  <c r="I30" i="1"/>
  <c r="G39" i="1"/>
  <c r="E38" i="3"/>
  <c r="G32" i="3"/>
  <c r="B32" i="3"/>
  <c r="E32" i="3" s="1"/>
  <c r="G18" i="3"/>
  <c r="B18" i="3"/>
  <c r="E18" i="3" s="1"/>
  <c r="B39" i="1"/>
  <c r="E30" i="1"/>
  <c r="B30" i="1"/>
  <c r="I26" i="1"/>
  <c r="I12" i="1"/>
  <c r="E26" i="1"/>
  <c r="G26" i="1"/>
  <c r="G12" i="1"/>
  <c r="B26" i="1"/>
  <c r="B12" i="1"/>
  <c r="E12" i="1" s="1"/>
  <c r="I38" i="3" l="1"/>
  <c r="I18" i="3"/>
  <c r="I32" i="3"/>
  <c r="E39" i="1"/>
</calcChain>
</file>

<file path=xl/sharedStrings.xml><?xml version="1.0" encoding="utf-8"?>
<sst xmlns="http://schemas.openxmlformats.org/spreadsheetml/2006/main" count="148" uniqueCount="26">
  <si>
    <t>Metro cab</t>
  </si>
  <si>
    <t>Lunch</t>
  </si>
  <si>
    <t>Dinner</t>
  </si>
  <si>
    <t>Cab</t>
  </si>
  <si>
    <t>Water</t>
  </si>
  <si>
    <t>Floating</t>
  </si>
  <si>
    <t>Ping pong</t>
  </si>
  <si>
    <t>Skywalk</t>
  </si>
  <si>
    <t>Dinesh</t>
  </si>
  <si>
    <t>Sohail</t>
  </si>
  <si>
    <t>Tuk Tuk</t>
  </si>
  <si>
    <t>Boat</t>
  </si>
  <si>
    <t>Goutham</t>
  </si>
  <si>
    <t>Banana</t>
  </si>
  <si>
    <t>View sitting</t>
  </si>
  <si>
    <t>Snacks</t>
  </si>
  <si>
    <t>Name</t>
  </si>
  <si>
    <t>Purpose</t>
  </si>
  <si>
    <t>Amount</t>
  </si>
  <si>
    <t>PerPerson</t>
  </si>
  <si>
    <t>Common</t>
  </si>
  <si>
    <t>Net</t>
  </si>
  <si>
    <t>Biryani</t>
  </si>
  <si>
    <t>Srinath</t>
  </si>
  <si>
    <t>Sai</t>
  </si>
  <si>
    <t>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</si>
</sst>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3" fontId="0" fillId="3" borderId="1" xfId="0" applyNumberFormat="1" applyFill="1" applyBorder="1"/>
    <xf numFmtId="4" fontId="0" fillId="0" borderId="0" xfId="0" applyNumberFormat="1"/>
    <xf numFmtId="4" fontId="0" fillId="3" borderId="0" xfId="0" applyNumberFormat="1" applyFill="1"/>
    <xf numFmtId="3" fontId="0" fillId="3" borderId="2" xfId="0" applyNumberFormat="1" applyFill="1" applyBorder="1"/>
    <xf numFmtId="4" fontId="0" fillId="0" borderId="1" xfId="0" applyNumberFormat="1" applyBorder="1"/>
    <xf numFmtId="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opLeftCell="A22" workbookViewId="0">
      <selection activeCell="M40" sqref="M40"/>
    </sheetView>
  </sheetViews>
  <sheetFormatPr defaultRowHeight="15" x14ac:dyDescent="0.25"/>
  <cols>
    <col min="2" max="2" width="14.28515625" bestFit="1" customWidth="1"/>
    <col min="4" max="4" width="9.140625" style="8"/>
    <col min="5" max="5" width="10.140625" bestFit="1" customWidth="1"/>
  </cols>
  <sheetData>
    <row r="1" spans="1:9" x14ac:dyDescent="0.25">
      <c r="A1" s="3" t="s">
        <v>16</v>
      </c>
      <c r="B1" s="3" t="s">
        <v>17</v>
      </c>
      <c r="C1" s="3" t="s">
        <v>18</v>
      </c>
      <c r="E1" s="1" t="s">
        <v>19</v>
      </c>
      <c r="G1" s="1" t="s">
        <v>20</v>
      </c>
      <c r="I1" s="1" t="s">
        <v>21</v>
      </c>
    </row>
    <row r="2" spans="1:9" x14ac:dyDescent="0.25">
      <c r="A2" s="4" t="s">
        <v>20</v>
      </c>
      <c r="B2" s="4" t="s">
        <v>0</v>
      </c>
      <c r="C2" s="5">
        <v>970</v>
      </c>
      <c r="D2" s="11">
        <f>C2/8</f>
        <v>121.25</v>
      </c>
    </row>
    <row r="3" spans="1:9" x14ac:dyDescent="0.25">
      <c r="A3" s="4" t="s">
        <v>20</v>
      </c>
      <c r="B3" s="4" t="s">
        <v>1</v>
      </c>
      <c r="C3" s="5">
        <v>2680</v>
      </c>
      <c r="D3" s="11">
        <f t="shared" ref="D3:D38" si="0">C3/8</f>
        <v>335</v>
      </c>
    </row>
    <row r="4" spans="1:9" x14ac:dyDescent="0.25">
      <c r="A4" s="4" t="s">
        <v>20</v>
      </c>
      <c r="B4" s="4" t="s">
        <v>2</v>
      </c>
      <c r="C4" s="5">
        <v>610</v>
      </c>
      <c r="D4" s="11">
        <f t="shared" si="0"/>
        <v>76.25</v>
      </c>
    </row>
    <row r="5" spans="1:9" x14ac:dyDescent="0.25">
      <c r="A5" s="4" t="s">
        <v>20</v>
      </c>
      <c r="B5" s="4" t="s">
        <v>3</v>
      </c>
      <c r="C5" s="5">
        <v>3000</v>
      </c>
      <c r="D5" s="11">
        <f t="shared" si="0"/>
        <v>375</v>
      </c>
    </row>
    <row r="6" spans="1:9" x14ac:dyDescent="0.25">
      <c r="A6" s="4" t="s">
        <v>20</v>
      </c>
      <c r="B6" s="4" t="s">
        <v>4</v>
      </c>
      <c r="C6" s="5">
        <v>9600</v>
      </c>
      <c r="D6" s="11">
        <f t="shared" si="0"/>
        <v>1200</v>
      </c>
    </row>
    <row r="7" spans="1:9" x14ac:dyDescent="0.25">
      <c r="A7" s="4" t="s">
        <v>20</v>
      </c>
      <c r="B7" s="4" t="s">
        <v>5</v>
      </c>
      <c r="C7" s="5">
        <v>6000</v>
      </c>
      <c r="D7" s="11">
        <f t="shared" si="0"/>
        <v>750</v>
      </c>
    </row>
    <row r="8" spans="1:9" x14ac:dyDescent="0.25">
      <c r="A8" s="4" t="s">
        <v>20</v>
      </c>
      <c r="B8" s="4" t="s">
        <v>6</v>
      </c>
      <c r="C8" s="5">
        <v>4000</v>
      </c>
      <c r="D8" s="11">
        <f t="shared" si="0"/>
        <v>500</v>
      </c>
    </row>
    <row r="9" spans="1:9" x14ac:dyDescent="0.25">
      <c r="A9" s="4" t="s">
        <v>20</v>
      </c>
      <c r="B9" s="4" t="s">
        <v>7</v>
      </c>
      <c r="C9" s="5">
        <v>9200</v>
      </c>
      <c r="D9" s="11">
        <f t="shared" si="0"/>
        <v>1150</v>
      </c>
    </row>
    <row r="10" spans="1:9" x14ac:dyDescent="0.25">
      <c r="A10" s="4" t="s">
        <v>20</v>
      </c>
      <c r="B10" s="4" t="s">
        <v>1</v>
      </c>
      <c r="C10" s="5">
        <v>930</v>
      </c>
      <c r="D10" s="11">
        <f t="shared" si="0"/>
        <v>116.25</v>
      </c>
    </row>
    <row r="11" spans="1:9" x14ac:dyDescent="0.25">
      <c r="A11" s="4" t="s">
        <v>20</v>
      </c>
      <c r="B11" s="4" t="s">
        <v>3</v>
      </c>
      <c r="C11" s="5">
        <v>3500</v>
      </c>
      <c r="D11" s="11">
        <f t="shared" si="0"/>
        <v>437.5</v>
      </c>
    </row>
    <row r="12" spans="1:9" x14ac:dyDescent="0.25">
      <c r="A12" s="6"/>
      <c r="B12" s="7">
        <f>SUM(C2:C11)</f>
        <v>40490</v>
      </c>
      <c r="C12" s="6"/>
      <c r="D12" s="12"/>
      <c r="E12" s="10">
        <f>B12/8</f>
        <v>5061.25</v>
      </c>
      <c r="F12" s="2"/>
      <c r="G12" s="7">
        <f>5000*8</f>
        <v>40000</v>
      </c>
      <c r="H12" s="2"/>
      <c r="I12" s="7">
        <f>G12-B12</f>
        <v>-490</v>
      </c>
    </row>
    <row r="13" spans="1:9" x14ac:dyDescent="0.25">
      <c r="A13" s="4" t="s">
        <v>12</v>
      </c>
      <c r="B13" s="4" t="s">
        <v>2</v>
      </c>
      <c r="C13" s="5">
        <v>2760</v>
      </c>
      <c r="D13" s="11">
        <f t="shared" si="0"/>
        <v>345</v>
      </c>
    </row>
    <row r="14" spans="1:9" x14ac:dyDescent="0.25">
      <c r="A14" s="4" t="s">
        <v>12</v>
      </c>
      <c r="B14" s="4" t="s">
        <v>10</v>
      </c>
      <c r="C14" s="5">
        <v>100</v>
      </c>
      <c r="D14" s="11">
        <f t="shared" si="0"/>
        <v>12.5</v>
      </c>
    </row>
    <row r="15" spans="1:9" x14ac:dyDescent="0.25">
      <c r="A15" s="4" t="s">
        <v>9</v>
      </c>
      <c r="B15" s="4" t="s">
        <v>10</v>
      </c>
      <c r="C15" s="5">
        <v>50</v>
      </c>
      <c r="D15" s="11">
        <f t="shared" si="0"/>
        <v>6.25</v>
      </c>
    </row>
    <row r="16" spans="1:9" x14ac:dyDescent="0.25">
      <c r="A16" s="4" t="s">
        <v>9</v>
      </c>
      <c r="B16" s="4" t="s">
        <v>11</v>
      </c>
      <c r="C16" s="5">
        <v>240</v>
      </c>
      <c r="D16" s="11">
        <f t="shared" si="0"/>
        <v>30</v>
      </c>
    </row>
    <row r="17" spans="1:9" x14ac:dyDescent="0.25">
      <c r="A17" s="4" t="s">
        <v>9</v>
      </c>
      <c r="B17" s="4" t="s">
        <v>1</v>
      </c>
      <c r="C17" s="5">
        <v>1360</v>
      </c>
      <c r="D17" s="11">
        <f t="shared" si="0"/>
        <v>170</v>
      </c>
    </row>
    <row r="18" spans="1:9" x14ac:dyDescent="0.25">
      <c r="A18" s="4" t="s">
        <v>8</v>
      </c>
      <c r="B18" s="4" t="s">
        <v>13</v>
      </c>
      <c r="C18" s="5">
        <v>100</v>
      </c>
      <c r="D18" s="11">
        <f t="shared" si="0"/>
        <v>12.5</v>
      </c>
    </row>
    <row r="19" spans="1:9" x14ac:dyDescent="0.25">
      <c r="A19" s="4" t="s">
        <v>9</v>
      </c>
      <c r="B19" s="4" t="s">
        <v>11</v>
      </c>
      <c r="C19" s="5">
        <v>240</v>
      </c>
      <c r="D19" s="11">
        <f t="shared" si="0"/>
        <v>30</v>
      </c>
    </row>
    <row r="20" spans="1:9" x14ac:dyDescent="0.25">
      <c r="A20" s="4" t="s">
        <v>9</v>
      </c>
      <c r="B20" s="4" t="s">
        <v>14</v>
      </c>
      <c r="C20" s="5">
        <v>200</v>
      </c>
      <c r="D20" s="11">
        <f t="shared" si="0"/>
        <v>25</v>
      </c>
    </row>
    <row r="21" spans="1:9" x14ac:dyDescent="0.25">
      <c r="A21" s="4" t="s">
        <v>12</v>
      </c>
      <c r="B21" s="4" t="s">
        <v>15</v>
      </c>
      <c r="C21" s="5">
        <v>460</v>
      </c>
      <c r="D21" s="11">
        <f t="shared" si="0"/>
        <v>57.5</v>
      </c>
    </row>
    <row r="22" spans="1:9" x14ac:dyDescent="0.25">
      <c r="A22" s="4" t="s">
        <v>9</v>
      </c>
      <c r="B22" s="4" t="s">
        <v>15</v>
      </c>
      <c r="C22" s="5">
        <v>140</v>
      </c>
      <c r="D22" s="11">
        <f t="shared" si="0"/>
        <v>17.5</v>
      </c>
    </row>
    <row r="23" spans="1:9" x14ac:dyDescent="0.25">
      <c r="A23" s="4" t="s">
        <v>9</v>
      </c>
      <c r="B23" s="4" t="s">
        <v>15</v>
      </c>
      <c r="C23" s="5">
        <v>100</v>
      </c>
      <c r="D23" s="11">
        <f t="shared" si="0"/>
        <v>12.5</v>
      </c>
    </row>
    <row r="24" spans="1:9" x14ac:dyDescent="0.25">
      <c r="A24" s="4" t="s">
        <v>9</v>
      </c>
      <c r="B24" s="4" t="s">
        <v>10</v>
      </c>
      <c r="C24" s="5">
        <v>200</v>
      </c>
      <c r="D24" s="11">
        <f t="shared" si="0"/>
        <v>25</v>
      </c>
    </row>
    <row r="25" spans="1:9" x14ac:dyDescent="0.25">
      <c r="A25" s="4" t="s">
        <v>9</v>
      </c>
      <c r="B25" s="4" t="s">
        <v>10</v>
      </c>
      <c r="C25" s="5">
        <v>100</v>
      </c>
      <c r="D25" s="11">
        <f t="shared" si="0"/>
        <v>12.5</v>
      </c>
    </row>
    <row r="26" spans="1:9" x14ac:dyDescent="0.25">
      <c r="A26" s="6"/>
      <c r="B26" s="7">
        <f>SUM(C13:C25)</f>
        <v>6050</v>
      </c>
      <c r="C26" s="6"/>
      <c r="D26" s="12"/>
      <c r="E26" s="10">
        <f>B26/8</f>
        <v>756.25</v>
      </c>
      <c r="F26" s="2"/>
      <c r="G26" s="7">
        <f>1000*8</f>
        <v>8000</v>
      </c>
      <c r="H26" s="2"/>
      <c r="I26" s="7">
        <f>G12+G26-B12-B26</f>
        <v>1460</v>
      </c>
    </row>
    <row r="27" spans="1:9" x14ac:dyDescent="0.25">
      <c r="A27" s="4" t="s">
        <v>20</v>
      </c>
      <c r="B27" s="4" t="s">
        <v>10</v>
      </c>
      <c r="C27" s="5">
        <v>100</v>
      </c>
      <c r="D27" s="11">
        <f t="shared" si="0"/>
        <v>12.5</v>
      </c>
    </row>
    <row r="28" spans="1:9" x14ac:dyDescent="0.25">
      <c r="A28" s="4" t="s">
        <v>20</v>
      </c>
      <c r="B28" s="4" t="s">
        <v>10</v>
      </c>
      <c r="C28" s="5">
        <v>100</v>
      </c>
      <c r="D28" s="11">
        <f t="shared" si="0"/>
        <v>12.5</v>
      </c>
    </row>
    <row r="29" spans="1:9" x14ac:dyDescent="0.25">
      <c r="A29" s="4" t="s">
        <v>20</v>
      </c>
      <c r="B29" s="4" t="s">
        <v>2</v>
      </c>
      <c r="C29" s="5">
        <v>1270</v>
      </c>
      <c r="D29" s="11">
        <f t="shared" si="0"/>
        <v>158.75</v>
      </c>
    </row>
    <row r="30" spans="1:9" x14ac:dyDescent="0.25">
      <c r="A30" s="6"/>
      <c r="B30" s="7">
        <f>SUM(C27:C29)</f>
        <v>1470</v>
      </c>
      <c r="C30" s="6"/>
      <c r="D30" s="12"/>
      <c r="E30" s="10">
        <f>B30/8</f>
        <v>183.75</v>
      </c>
      <c r="F30" s="2"/>
      <c r="G30" s="7">
        <v>0</v>
      </c>
      <c r="H30" s="2"/>
      <c r="I30" s="7">
        <f>G12+G26-B12-B26-B30</f>
        <v>-10</v>
      </c>
    </row>
    <row r="31" spans="1:9" x14ac:dyDescent="0.25">
      <c r="A31" s="4" t="s">
        <v>12</v>
      </c>
      <c r="B31" s="4" t="s">
        <v>2</v>
      </c>
      <c r="C31" s="5">
        <v>650</v>
      </c>
      <c r="D31" s="11">
        <f t="shared" si="0"/>
        <v>81.25</v>
      </c>
    </row>
    <row r="32" spans="1:9" x14ac:dyDescent="0.25">
      <c r="A32" s="4" t="s">
        <v>12</v>
      </c>
      <c r="B32" s="4" t="s">
        <v>10</v>
      </c>
      <c r="C32" s="5">
        <v>120</v>
      </c>
      <c r="D32" s="11">
        <f t="shared" si="0"/>
        <v>15</v>
      </c>
    </row>
    <row r="33" spans="1:9" x14ac:dyDescent="0.25">
      <c r="A33" s="4" t="s">
        <v>12</v>
      </c>
      <c r="B33" s="4" t="s">
        <v>15</v>
      </c>
      <c r="C33" s="5">
        <v>240</v>
      </c>
      <c r="D33" s="11">
        <f t="shared" si="0"/>
        <v>30</v>
      </c>
    </row>
    <row r="34" spans="1:9" x14ac:dyDescent="0.25">
      <c r="A34" s="4" t="s">
        <v>23</v>
      </c>
      <c r="B34" s="4" t="s">
        <v>22</v>
      </c>
      <c r="C34" s="5">
        <v>1000</v>
      </c>
      <c r="D34" s="11">
        <f t="shared" si="0"/>
        <v>125</v>
      </c>
    </row>
    <row r="35" spans="1:9" x14ac:dyDescent="0.25">
      <c r="A35" s="4" t="s">
        <v>24</v>
      </c>
      <c r="B35" s="4" t="s">
        <v>22</v>
      </c>
      <c r="C35" s="5">
        <v>100</v>
      </c>
      <c r="D35" s="11">
        <f t="shared" si="0"/>
        <v>12.5</v>
      </c>
    </row>
    <row r="36" spans="1:9" x14ac:dyDescent="0.25">
      <c r="A36" s="4" t="s">
        <v>25</v>
      </c>
      <c r="B36" s="4" t="s">
        <v>22</v>
      </c>
      <c r="C36" s="5">
        <v>50</v>
      </c>
      <c r="D36" s="11">
        <f t="shared" si="0"/>
        <v>6.25</v>
      </c>
    </row>
    <row r="37" spans="1:9" x14ac:dyDescent="0.25">
      <c r="A37" s="4" t="s">
        <v>8</v>
      </c>
      <c r="B37" s="4" t="s">
        <v>22</v>
      </c>
      <c r="C37" s="5">
        <v>160</v>
      </c>
      <c r="D37" s="11">
        <f t="shared" si="0"/>
        <v>20</v>
      </c>
    </row>
    <row r="38" spans="1:9" x14ac:dyDescent="0.25">
      <c r="A38" s="4" t="s">
        <v>12</v>
      </c>
      <c r="B38" s="4" t="s">
        <v>3</v>
      </c>
      <c r="C38" s="5">
        <v>1800</v>
      </c>
      <c r="D38" s="11">
        <f t="shared" si="0"/>
        <v>225</v>
      </c>
    </row>
    <row r="39" spans="1:9" x14ac:dyDescent="0.25">
      <c r="A39" s="6"/>
      <c r="B39" s="7">
        <f>SUM(C31:C38)</f>
        <v>4120</v>
      </c>
      <c r="C39" s="6"/>
      <c r="D39" s="9"/>
      <c r="E39" s="7">
        <f>B39/8</f>
        <v>515</v>
      </c>
      <c r="F39" s="2"/>
      <c r="G39" s="7">
        <f>515*8</f>
        <v>4120</v>
      </c>
      <c r="H39" s="2"/>
      <c r="I39" s="7">
        <f>G12+G26+G39-B12-B26-B30-B39</f>
        <v>-10</v>
      </c>
    </row>
  </sheetData>
  <autoFilter ref="A1:A24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18CE-A602-4E9F-8717-E3982C2AE9D8}">
  <dimension ref="A1:I38"/>
  <sheetViews>
    <sheetView tabSelected="1" workbookViewId="0">
      <selection activeCell="L26" sqref="L26"/>
    </sheetView>
  </sheetViews>
  <sheetFormatPr defaultRowHeight="15" x14ac:dyDescent="0.25"/>
  <cols>
    <col min="2" max="2" width="14.28515625" bestFit="1" customWidth="1"/>
    <col min="4" max="4" width="9.140625" style="8"/>
    <col min="5" max="5" width="10.140625" bestFit="1" customWidth="1"/>
  </cols>
  <sheetData>
    <row r="1" spans="1:9" x14ac:dyDescent="0.25">
      <c r="A1" s="3" t="s">
        <v>16</v>
      </c>
      <c r="B1" s="3" t="s">
        <v>17</v>
      </c>
      <c r="C1" s="3" t="s">
        <v>18</v>
      </c>
      <c r="E1" s="1" t="s">
        <v>19</v>
      </c>
      <c r="G1" s="1" t="s">
        <v>20</v>
      </c>
      <c r="I1" s="1" t="s">
        <v>21</v>
      </c>
    </row>
    <row r="2" spans="1:9" x14ac:dyDescent="0.25">
      <c r="A2" s="4" t="s">
        <v>20</v>
      </c>
      <c r="B2" s="4" t="s">
        <v>1</v>
      </c>
      <c r="C2" s="5">
        <v>2680</v>
      </c>
      <c r="D2" s="11">
        <f>C2/8</f>
        <v>335</v>
      </c>
    </row>
    <row r="3" spans="1:9" x14ac:dyDescent="0.25">
      <c r="A3" s="4" t="s">
        <v>20</v>
      </c>
      <c r="B3" s="4" t="s">
        <v>2</v>
      </c>
      <c r="C3" s="5">
        <v>610</v>
      </c>
      <c r="D3" s="11">
        <f t="shared" ref="D3:D17" si="0">C3/8</f>
        <v>76.25</v>
      </c>
    </row>
    <row r="4" spans="1:9" x14ac:dyDescent="0.25">
      <c r="A4" s="4" t="s">
        <v>20</v>
      </c>
      <c r="B4" s="4" t="s">
        <v>1</v>
      </c>
      <c r="C4" s="5">
        <v>930</v>
      </c>
      <c r="D4" s="11">
        <f t="shared" si="0"/>
        <v>116.25</v>
      </c>
    </row>
    <row r="5" spans="1:9" x14ac:dyDescent="0.25">
      <c r="A5" s="4" t="s">
        <v>12</v>
      </c>
      <c r="B5" s="4" t="s">
        <v>2</v>
      </c>
      <c r="C5" s="5">
        <v>2760</v>
      </c>
      <c r="D5" s="11">
        <f t="shared" si="0"/>
        <v>345</v>
      </c>
    </row>
    <row r="6" spans="1:9" x14ac:dyDescent="0.25">
      <c r="A6" s="4" t="s">
        <v>9</v>
      </c>
      <c r="B6" s="4" t="s">
        <v>1</v>
      </c>
      <c r="C6" s="5">
        <v>1360</v>
      </c>
      <c r="D6" s="11">
        <f t="shared" si="0"/>
        <v>170</v>
      </c>
    </row>
    <row r="7" spans="1:9" x14ac:dyDescent="0.25">
      <c r="A7" s="4" t="s">
        <v>8</v>
      </c>
      <c r="B7" s="4" t="s">
        <v>13</v>
      </c>
      <c r="C7" s="5">
        <v>100</v>
      </c>
      <c r="D7" s="11">
        <f t="shared" si="0"/>
        <v>12.5</v>
      </c>
    </row>
    <row r="8" spans="1:9" x14ac:dyDescent="0.25">
      <c r="A8" s="4" t="s">
        <v>12</v>
      </c>
      <c r="B8" s="4" t="s">
        <v>15</v>
      </c>
      <c r="C8" s="5">
        <v>460</v>
      </c>
      <c r="D8" s="11">
        <f t="shared" si="0"/>
        <v>57.5</v>
      </c>
    </row>
    <row r="9" spans="1:9" x14ac:dyDescent="0.25">
      <c r="A9" s="4" t="s">
        <v>9</v>
      </c>
      <c r="B9" s="4" t="s">
        <v>15</v>
      </c>
      <c r="C9" s="5">
        <v>140</v>
      </c>
      <c r="D9" s="11">
        <f t="shared" si="0"/>
        <v>17.5</v>
      </c>
    </row>
    <row r="10" spans="1:9" x14ac:dyDescent="0.25">
      <c r="A10" s="4" t="s">
        <v>9</v>
      </c>
      <c r="B10" s="4" t="s">
        <v>15</v>
      </c>
      <c r="C10" s="5">
        <v>100</v>
      </c>
      <c r="D10" s="11">
        <f t="shared" si="0"/>
        <v>12.5</v>
      </c>
    </row>
    <row r="11" spans="1:9" x14ac:dyDescent="0.25">
      <c r="A11" s="4" t="s">
        <v>20</v>
      </c>
      <c r="B11" s="4" t="s">
        <v>2</v>
      </c>
      <c r="C11" s="5">
        <v>1270</v>
      </c>
      <c r="D11" s="11">
        <f t="shared" si="0"/>
        <v>158.75</v>
      </c>
    </row>
    <row r="12" spans="1:9" x14ac:dyDescent="0.25">
      <c r="A12" s="4" t="s">
        <v>12</v>
      </c>
      <c r="B12" s="4" t="s">
        <v>2</v>
      </c>
      <c r="C12" s="5">
        <v>650</v>
      </c>
      <c r="D12" s="11">
        <f t="shared" si="0"/>
        <v>81.25</v>
      </c>
    </row>
    <row r="13" spans="1:9" x14ac:dyDescent="0.25">
      <c r="A13" s="4" t="s">
        <v>12</v>
      </c>
      <c r="B13" s="4" t="s">
        <v>15</v>
      </c>
      <c r="C13" s="5">
        <v>240</v>
      </c>
      <c r="D13" s="11">
        <f t="shared" si="0"/>
        <v>30</v>
      </c>
    </row>
    <row r="14" spans="1:9" x14ac:dyDescent="0.25">
      <c r="A14" s="4" t="s">
        <v>23</v>
      </c>
      <c r="B14" s="4" t="s">
        <v>22</v>
      </c>
      <c r="C14" s="5">
        <v>1000</v>
      </c>
      <c r="D14" s="11">
        <f t="shared" si="0"/>
        <v>125</v>
      </c>
    </row>
    <row r="15" spans="1:9" x14ac:dyDescent="0.25">
      <c r="A15" s="4" t="s">
        <v>24</v>
      </c>
      <c r="B15" s="4" t="s">
        <v>22</v>
      </c>
      <c r="C15" s="5">
        <v>100</v>
      </c>
      <c r="D15" s="11">
        <f t="shared" si="0"/>
        <v>12.5</v>
      </c>
    </row>
    <row r="16" spans="1:9" x14ac:dyDescent="0.25">
      <c r="A16" s="4" t="s">
        <v>25</v>
      </c>
      <c r="B16" s="4" t="s">
        <v>22</v>
      </c>
      <c r="C16" s="5">
        <v>50</v>
      </c>
      <c r="D16" s="11">
        <f t="shared" si="0"/>
        <v>6.25</v>
      </c>
    </row>
    <row r="17" spans="1:9" x14ac:dyDescent="0.25">
      <c r="A17" s="4" t="s">
        <v>8</v>
      </c>
      <c r="B17" s="4" t="s">
        <v>22</v>
      </c>
      <c r="C17" s="5">
        <v>160</v>
      </c>
      <c r="D17" s="11">
        <f t="shared" si="0"/>
        <v>20</v>
      </c>
    </row>
    <row r="18" spans="1:9" x14ac:dyDescent="0.25">
      <c r="A18" s="6"/>
      <c r="B18" s="7">
        <f>SUM(C2:C17)</f>
        <v>12610</v>
      </c>
      <c r="C18" s="6"/>
      <c r="D18" s="12"/>
      <c r="E18" s="10">
        <f>B18/8</f>
        <v>1576.25</v>
      </c>
      <c r="F18" s="2"/>
      <c r="G18" s="7">
        <f>5000*8</f>
        <v>40000</v>
      </c>
      <c r="H18" s="2"/>
      <c r="I18" s="7">
        <f>G18-B18</f>
        <v>27390</v>
      </c>
    </row>
    <row r="19" spans="1:9" x14ac:dyDescent="0.25">
      <c r="A19" s="4" t="s">
        <v>20</v>
      </c>
      <c r="B19" s="4" t="s">
        <v>0</v>
      </c>
      <c r="C19" s="5">
        <v>970</v>
      </c>
      <c r="D19" s="11">
        <f>C19/8</f>
        <v>121.25</v>
      </c>
    </row>
    <row r="20" spans="1:9" x14ac:dyDescent="0.25">
      <c r="A20" s="4" t="s">
        <v>20</v>
      </c>
      <c r="B20" s="4" t="s">
        <v>3</v>
      </c>
      <c r="C20" s="5">
        <v>3000</v>
      </c>
      <c r="D20" s="11">
        <f t="shared" ref="D20:D31" si="1">C20/8</f>
        <v>375</v>
      </c>
    </row>
    <row r="21" spans="1:9" x14ac:dyDescent="0.25">
      <c r="A21" s="4" t="s">
        <v>20</v>
      </c>
      <c r="B21" s="4" t="s">
        <v>3</v>
      </c>
      <c r="C21" s="5">
        <v>3500</v>
      </c>
      <c r="D21" s="11">
        <f t="shared" si="1"/>
        <v>437.5</v>
      </c>
    </row>
    <row r="22" spans="1:9" x14ac:dyDescent="0.25">
      <c r="A22" s="4" t="s">
        <v>12</v>
      </c>
      <c r="B22" s="4" t="s">
        <v>10</v>
      </c>
      <c r="C22" s="5">
        <v>100</v>
      </c>
      <c r="D22" s="11">
        <f t="shared" si="1"/>
        <v>12.5</v>
      </c>
    </row>
    <row r="23" spans="1:9" x14ac:dyDescent="0.25">
      <c r="A23" s="4" t="s">
        <v>9</v>
      </c>
      <c r="B23" s="4" t="s">
        <v>10</v>
      </c>
      <c r="C23" s="5">
        <v>50</v>
      </c>
      <c r="D23" s="11">
        <f t="shared" si="1"/>
        <v>6.25</v>
      </c>
    </row>
    <row r="24" spans="1:9" x14ac:dyDescent="0.25">
      <c r="A24" s="4" t="s">
        <v>9</v>
      </c>
      <c r="B24" s="4" t="s">
        <v>11</v>
      </c>
      <c r="C24" s="5">
        <v>240</v>
      </c>
      <c r="D24" s="11">
        <f t="shared" si="1"/>
        <v>30</v>
      </c>
    </row>
    <row r="25" spans="1:9" x14ac:dyDescent="0.25">
      <c r="A25" s="4" t="s">
        <v>9</v>
      </c>
      <c r="B25" s="4" t="s">
        <v>11</v>
      </c>
      <c r="C25" s="5">
        <v>240</v>
      </c>
      <c r="D25" s="11">
        <f t="shared" si="1"/>
        <v>30</v>
      </c>
    </row>
    <row r="26" spans="1:9" x14ac:dyDescent="0.25">
      <c r="A26" s="4" t="s">
        <v>9</v>
      </c>
      <c r="B26" s="4" t="s">
        <v>10</v>
      </c>
      <c r="C26" s="5">
        <v>200</v>
      </c>
      <c r="D26" s="11">
        <f t="shared" si="1"/>
        <v>25</v>
      </c>
    </row>
    <row r="27" spans="1:9" x14ac:dyDescent="0.25">
      <c r="A27" s="4" t="s">
        <v>9</v>
      </c>
      <c r="B27" s="4" t="s">
        <v>10</v>
      </c>
      <c r="C27" s="5">
        <v>100</v>
      </c>
      <c r="D27" s="11">
        <f t="shared" si="1"/>
        <v>12.5</v>
      </c>
    </row>
    <row r="28" spans="1:9" x14ac:dyDescent="0.25">
      <c r="A28" s="4" t="s">
        <v>20</v>
      </c>
      <c r="B28" s="4" t="s">
        <v>10</v>
      </c>
      <c r="C28" s="5">
        <v>100</v>
      </c>
      <c r="D28" s="11">
        <f t="shared" si="1"/>
        <v>12.5</v>
      </c>
    </row>
    <row r="29" spans="1:9" x14ac:dyDescent="0.25">
      <c r="A29" s="4" t="s">
        <v>20</v>
      </c>
      <c r="B29" s="4" t="s">
        <v>10</v>
      </c>
      <c r="C29" s="5">
        <v>100</v>
      </c>
      <c r="D29" s="11">
        <f t="shared" si="1"/>
        <v>12.5</v>
      </c>
    </row>
    <row r="30" spans="1:9" x14ac:dyDescent="0.25">
      <c r="A30" s="4" t="s">
        <v>12</v>
      </c>
      <c r="B30" s="4" t="s">
        <v>10</v>
      </c>
      <c r="C30" s="5">
        <v>120</v>
      </c>
      <c r="D30" s="11">
        <f t="shared" si="1"/>
        <v>15</v>
      </c>
    </row>
    <row r="31" spans="1:9" x14ac:dyDescent="0.25">
      <c r="A31" s="4" t="s">
        <v>12</v>
      </c>
      <c r="B31" s="4" t="s">
        <v>3</v>
      </c>
      <c r="C31" s="5">
        <v>1800</v>
      </c>
      <c r="D31" s="11">
        <f t="shared" si="1"/>
        <v>225</v>
      </c>
    </row>
    <row r="32" spans="1:9" x14ac:dyDescent="0.25">
      <c r="A32" s="6"/>
      <c r="B32" s="7">
        <f>SUM(C19:C31)</f>
        <v>10520</v>
      </c>
      <c r="C32" s="6"/>
      <c r="D32" s="12"/>
      <c r="E32" s="10">
        <f>B32/8</f>
        <v>1315</v>
      </c>
      <c r="F32" s="2"/>
      <c r="G32" s="7">
        <f>1000*8</f>
        <v>8000</v>
      </c>
      <c r="H32" s="2"/>
      <c r="I32" s="7">
        <f>G18+G32-B18-B32</f>
        <v>24870</v>
      </c>
    </row>
    <row r="33" spans="1:9" x14ac:dyDescent="0.25">
      <c r="A33" s="4" t="s">
        <v>20</v>
      </c>
      <c r="B33" s="4" t="s">
        <v>4</v>
      </c>
      <c r="C33" s="5">
        <v>9600</v>
      </c>
      <c r="D33" s="11">
        <f>C33/8</f>
        <v>1200</v>
      </c>
    </row>
    <row r="34" spans="1:9" x14ac:dyDescent="0.25">
      <c r="A34" s="4" t="s">
        <v>20</v>
      </c>
      <c r="B34" s="4" t="s">
        <v>5</v>
      </c>
      <c r="C34" s="5">
        <v>6000</v>
      </c>
      <c r="D34" s="11">
        <f t="shared" ref="D34:D37" si="2">C34/8</f>
        <v>750</v>
      </c>
    </row>
    <row r="35" spans="1:9" x14ac:dyDescent="0.25">
      <c r="A35" s="4" t="s">
        <v>20</v>
      </c>
      <c r="B35" s="4" t="s">
        <v>6</v>
      </c>
      <c r="C35" s="5">
        <v>4000</v>
      </c>
      <c r="D35" s="11">
        <f t="shared" si="2"/>
        <v>500</v>
      </c>
    </row>
    <row r="36" spans="1:9" x14ac:dyDescent="0.25">
      <c r="A36" s="4" t="s">
        <v>20</v>
      </c>
      <c r="B36" s="4" t="s">
        <v>7</v>
      </c>
      <c r="C36" s="5">
        <v>9200</v>
      </c>
      <c r="D36" s="11">
        <f t="shared" si="2"/>
        <v>1150</v>
      </c>
    </row>
    <row r="37" spans="1:9" x14ac:dyDescent="0.25">
      <c r="A37" s="4" t="s">
        <v>9</v>
      </c>
      <c r="B37" s="4" t="s">
        <v>14</v>
      </c>
      <c r="C37" s="5">
        <v>200</v>
      </c>
      <c r="D37" s="11">
        <f t="shared" si="2"/>
        <v>25</v>
      </c>
    </row>
    <row r="38" spans="1:9" x14ac:dyDescent="0.25">
      <c r="A38" s="6"/>
      <c r="B38" s="7">
        <f>SUM(C33:C37)</f>
        <v>29000</v>
      </c>
      <c r="C38" s="6"/>
      <c r="D38" s="9"/>
      <c r="E38" s="7">
        <f>B38/8</f>
        <v>3625</v>
      </c>
      <c r="F38" s="2"/>
      <c r="G38" s="7">
        <f>515*8</f>
        <v>4120</v>
      </c>
      <c r="H38" s="2"/>
      <c r="I38" s="7">
        <f>G18+G32+G38-B18-B32-B38</f>
        <v>-10</v>
      </c>
    </row>
  </sheetData>
  <autoFilter ref="A1:A30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Thailand</vt:lpstr>
      <vt:lpstr>ByType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Chandra Babu</dc:creator>
  <cp:lastModifiedBy>Ravi Chandra Babu</cp:lastModifiedBy>
  <dcterms:created xsi:type="dcterms:W3CDTF">2015-06-05T18:17:20Z</dcterms:created>
  <dcterms:modified xsi:type="dcterms:W3CDTF">2023-11-06T06:56:47Z</dcterms:modified>
</cp:coreProperties>
</file>